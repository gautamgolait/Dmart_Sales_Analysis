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asus\Dmart_Sales_Analysis\"/>
    </mc:Choice>
  </mc:AlternateContent>
  <xr:revisionPtr revIDLastSave="0" documentId="8_{8AB98EF8-37BA-46AF-A915-99B6D1EF15B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14" i="1" l="1"/>
  <c r="L14" i="1"/>
  <c r="K14" i="1"/>
  <c r="M13" i="1"/>
  <c r="L13" i="1"/>
  <c r="K13" i="1"/>
  <c r="M12" i="1"/>
  <c r="L12" i="1"/>
  <c r="K12" i="1"/>
  <c r="M11" i="1"/>
  <c r="L11" i="1"/>
  <c r="K11" i="1"/>
  <c r="M10" i="1"/>
  <c r="L10" i="1"/>
  <c r="K10" i="1"/>
  <c r="I12" i="1"/>
  <c r="I11" i="1"/>
  <c r="I10" i="1"/>
  <c r="H12" i="1"/>
  <c r="H11" i="1"/>
  <c r="H10" i="1"/>
  <c r="B8" i="1"/>
  <c r="B9" i="1"/>
  <c r="B10" i="1"/>
  <c r="G10" i="1"/>
  <c r="B11" i="1"/>
  <c r="G11" i="1"/>
  <c r="B12" i="1"/>
  <c r="G12" i="1"/>
</calcChain>
</file>

<file path=xl/sharedStrings.xml><?xml version="1.0" encoding="utf-8"?>
<sst xmlns="http://schemas.openxmlformats.org/spreadsheetml/2006/main" count="32" uniqueCount="28">
  <si>
    <t>Emp_Name</t>
  </si>
  <si>
    <t>salary</t>
  </si>
  <si>
    <t>dept</t>
  </si>
  <si>
    <t>aman</t>
  </si>
  <si>
    <t>shyam</t>
  </si>
  <si>
    <t>raj</t>
  </si>
  <si>
    <t>hitesh</t>
  </si>
  <si>
    <t>yash</t>
  </si>
  <si>
    <t>IT</t>
  </si>
  <si>
    <t>Finance</t>
  </si>
  <si>
    <t>Sales</t>
  </si>
  <si>
    <t>It</t>
  </si>
  <si>
    <t>Average</t>
  </si>
  <si>
    <t>sum</t>
  </si>
  <si>
    <t>No of records</t>
  </si>
  <si>
    <t>max salary</t>
  </si>
  <si>
    <t>min salary</t>
  </si>
  <si>
    <t xml:space="preserve">total salary </t>
  </si>
  <si>
    <t>sales</t>
  </si>
  <si>
    <t>it</t>
  </si>
  <si>
    <t>Dept wise_emp</t>
  </si>
  <si>
    <t>dept wise average salary</t>
  </si>
  <si>
    <t>max_salary</t>
  </si>
  <si>
    <t>min_salary</t>
  </si>
  <si>
    <t>total_salary</t>
  </si>
  <si>
    <t>average_salary</t>
  </si>
  <si>
    <t>number of employess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</si>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</sst>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2" borderId="1" xfId="0" applyFill="1" applyBorder="1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M26"/>
  <sheetViews>
    <sheetView tabSelected="1" zoomScale="107" zoomScaleNormal="107" workbookViewId="0">
      <selection activeCell="I15" sqref="I15"/>
    </sheetView>
  </sheetViews>
  <sheetFormatPr defaultRowHeight="14.4" x14ac:dyDescent="0.3"/>
  <cols>
    <col min="1" max="1" width="12.6640625" bestFit="1" customWidth="1"/>
    <col min="7" max="7" width="10.6640625" bestFit="1" customWidth="1"/>
    <col min="8" max="8" width="14.21875" bestFit="1" customWidth="1"/>
    <col min="9" max="9" width="21.77734375" bestFit="1" customWidth="1"/>
    <col min="10" max="10" width="19.44140625" bestFit="1" customWidth="1"/>
  </cols>
  <sheetData>
    <row r="2" spans="1:13" x14ac:dyDescent="0.3">
      <c r="A2" t="s">
        <v>0</v>
      </c>
      <c r="B2" t="s">
        <v>1</v>
      </c>
      <c r="C2" t="s">
        <v>2</v>
      </c>
    </row>
    <row r="3" spans="1:13" x14ac:dyDescent="0.3">
      <c r="A3" t="s">
        <v>3</v>
      </c>
      <c r="B3">
        <v>2000</v>
      </c>
      <c r="C3" s="1" t="s">
        <v>8</v>
      </c>
    </row>
    <row r="4" spans="1:13" x14ac:dyDescent="0.3">
      <c r="A4" t="s">
        <v>4</v>
      </c>
      <c r="B4">
        <v>3000</v>
      </c>
      <c r="C4" s="1" t="s">
        <v>9</v>
      </c>
    </row>
    <row r="5" spans="1:13" x14ac:dyDescent="0.3">
      <c r="A5" t="s">
        <v>5</v>
      </c>
      <c r="B5">
        <v>4000</v>
      </c>
      <c r="C5" s="1" t="s">
        <v>10</v>
      </c>
    </row>
    <row r="6" spans="1:13" x14ac:dyDescent="0.3">
      <c r="A6" t="s">
        <v>6</v>
      </c>
      <c r="B6">
        <v>9000</v>
      </c>
      <c r="C6" s="1" t="s">
        <v>19</v>
      </c>
    </row>
    <row r="7" spans="1:13" x14ac:dyDescent="0.3">
      <c r="A7" t="s">
        <v>7</v>
      </c>
      <c r="B7">
        <v>6500</v>
      </c>
      <c r="C7" s="1" t="s">
        <v>9</v>
      </c>
    </row>
    <row r="8" spans="1:13" x14ac:dyDescent="0.3">
      <c r="A8" s="2" t="s">
        <v>12</v>
      </c>
      <c r="B8" s="2">
        <f>AVERAGE(B3:B7)</f>
        <v>4900</v>
      </c>
      <c r="C8" s="3"/>
    </row>
    <row r="9" spans="1:13" x14ac:dyDescent="0.3">
      <c r="A9" s="2" t="s">
        <v>13</v>
      </c>
      <c r="B9" s="2">
        <f>SUM(B3:B7)</f>
        <v>24500</v>
      </c>
      <c r="C9" s="3"/>
      <c r="E9" s="2"/>
      <c r="F9" s="2"/>
      <c r="G9" s="2" t="s">
        <v>17</v>
      </c>
      <c r="H9" s="2" t="s">
        <v>20</v>
      </c>
      <c r="I9" t="s">
        <v>21</v>
      </c>
      <c r="J9" s="4"/>
      <c r="K9" s="2" t="s">
        <v>18</v>
      </c>
      <c r="L9" s="2" t="s">
        <v>19</v>
      </c>
      <c r="M9" s="2" t="s">
        <v>27</v>
      </c>
    </row>
    <row r="10" spans="1:13" x14ac:dyDescent="0.3">
      <c r="A10" s="2" t="s">
        <v>14</v>
      </c>
      <c r="B10" s="2">
        <f>COUNT(B3:B7)</f>
        <v>5</v>
      </c>
      <c r="C10" s="3"/>
      <c r="E10" s="2"/>
      <c r="F10" s="2" t="s">
        <v>18</v>
      </c>
      <c r="G10" s="2">
        <f>SUMIF(C3:C7,"sales",B3:B7)</f>
        <v>4000</v>
      </c>
      <c r="H10" s="2">
        <f>COUNTIF($C$3:$C$7,"sales")</f>
        <v>1</v>
      </c>
      <c r="I10">
        <f>AVERAGEIF(C3:C7,"sales",B3:B7)</f>
        <v>4000</v>
      </c>
      <c r="J10" s="2" t="s">
        <v>22</v>
      </c>
      <c r="K10" s="4">
        <f>_xlfn.MAXIFS(B3:B7,C3:C7,"sales")</f>
        <v>4000</v>
      </c>
      <c r="L10" s="4">
        <f>_xlfn.MAXIFS(B3:B7,C3:C7,"it")</f>
        <v>9000</v>
      </c>
      <c r="M10" s="4">
        <f>SUMIFS(B3:B7,C3:C7,"finance")</f>
        <v>9500</v>
      </c>
    </row>
    <row r="11" spans="1:13" x14ac:dyDescent="0.3">
      <c r="A11" s="2" t="s">
        <v>15</v>
      </c>
      <c r="B11" s="2">
        <f>MAX(B3:B7)</f>
        <v>9000</v>
      </c>
      <c r="C11" s="3"/>
      <c r="E11" s="2"/>
      <c r="F11" s="2" t="s">
        <v>11</v>
      </c>
      <c r="G11" s="2">
        <f>SUMIF(C3:C7,"it",B3:B7)</f>
        <v>11000</v>
      </c>
      <c r="H11" s="2">
        <f>COUNTIF($C$3:$C$7,"it")</f>
        <v>2</v>
      </c>
      <c r="I11">
        <f>AVERAGEIF(C3:C7,"it",B3:B7)</f>
        <v>5500</v>
      </c>
      <c r="J11" s="2" t="s">
        <v>23</v>
      </c>
      <c r="K11" s="4">
        <f>_xlfn.MINIFS(B3:B7,C3:C7,"sales")</f>
        <v>4000</v>
      </c>
      <c r="L11" s="4">
        <f>_xlfn.MINIFS(B3:B7,C3:C7,"it")</f>
        <v>2000</v>
      </c>
      <c r="M11" s="4">
        <f>_xlfn.MINIFS(B3:B7,C3:C7,"finance")</f>
        <v>3000</v>
      </c>
    </row>
    <row r="12" spans="1:13" x14ac:dyDescent="0.3">
      <c r="A12" s="2" t="s">
        <v>16</v>
      </c>
      <c r="B12" s="2">
        <f>MIN(B3:B7)</f>
        <v>2000</v>
      </c>
      <c r="C12" s="3"/>
      <c r="E12" s="2"/>
      <c r="F12" s="2" t="s">
        <v>9</v>
      </c>
      <c r="G12" s="2">
        <f>SUMIF(C3:C7,"Finance",B3:B7)</f>
        <v>9500</v>
      </c>
      <c r="H12" s="2">
        <f>COUNTIF($C$3:$C$7,"finance")</f>
        <v>2</v>
      </c>
      <c r="I12">
        <f>AVERAGEIF(C3:C7,"finance",B3:B7)</f>
        <v>4750</v>
      </c>
      <c r="J12" s="2" t="s">
        <v>24</v>
      </c>
      <c r="K12" s="4">
        <f>SUMIFS(B3:B7,C3:C7,"sales")</f>
        <v>4000</v>
      </c>
      <c r="L12" s="4">
        <f>SUMIFS(B3:B7,C3:C7,"it")</f>
        <v>11000</v>
      </c>
      <c r="M12" s="4">
        <f>SUMIFS(B3:B7,C3:C7,"finance")</f>
        <v>9500</v>
      </c>
    </row>
    <row r="13" spans="1:13" x14ac:dyDescent="0.3">
      <c r="C13" s="1"/>
      <c r="J13" s="2" t="s">
        <v>25</v>
      </c>
      <c r="K13" s="4">
        <f>AVERAGEIFS(B3:B7,C3:C7,"sales")</f>
        <v>4000</v>
      </c>
      <c r="L13" s="4">
        <f>AVERAGEIFS(B3:B7,C3:C7,"it")</f>
        <v>5500</v>
      </c>
      <c r="M13" s="4">
        <f>AVERAGEIFS(B3:B7,C3:C7,"finance")</f>
        <v>4750</v>
      </c>
    </row>
    <row r="14" spans="1:13" x14ac:dyDescent="0.3">
      <c r="C14" s="1"/>
      <c r="J14" s="2" t="s">
        <v>26</v>
      </c>
      <c r="K14" s="4">
        <f>COUNTIFS(C3:C7,"sales")</f>
        <v>1</v>
      </c>
      <c r="L14" s="4">
        <f>COUNTIFS(C3:C7,"it")</f>
        <v>2</v>
      </c>
      <c r="M14" s="4">
        <f>COUNTIFS(C3:C7,"finance")</f>
        <v>2</v>
      </c>
    </row>
    <row r="15" spans="1:13" x14ac:dyDescent="0.3">
      <c r="C15" s="1"/>
    </row>
    <row r="16" spans="1:13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Gautam Golait</cp:lastModifiedBy>
  <dcterms:created xsi:type="dcterms:W3CDTF">2015-06-05T18:17:20Z</dcterms:created>
  <dcterms:modified xsi:type="dcterms:W3CDTF">2026-08-11T16:03:06Z</dcterms:modified>
</cp:coreProperties>
</file>